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ima.hadi\Desktop\"/>
    </mc:Choice>
  </mc:AlternateContent>
  <xr:revisionPtr revIDLastSave="0" documentId="13_ncr:1_{7BDA0077-223D-4334-93FC-07D0BFB6C502}" xr6:coauthVersionLast="47" xr6:coauthVersionMax="47" xr10:uidLastSave="{00000000-0000-0000-0000-000000000000}"/>
  <bookViews>
    <workbookView xWindow="-110" yWindow="-110" windowWidth="19420" windowHeight="11500" xr2:uid="{A26B6F85-7994-4839-864D-97303DC386C1}"/>
  </bookViews>
  <sheets>
    <sheet name="Material" sheetId="1" r:id="rId1"/>
    <sheet name="Produ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</calcChain>
</file>

<file path=xl/sharedStrings.xml><?xml version="1.0" encoding="utf-8"?>
<sst xmlns="http://schemas.openxmlformats.org/spreadsheetml/2006/main" count="45" uniqueCount="41">
  <si>
    <t xml:space="preserve">Casting Alloying Elements </t>
  </si>
  <si>
    <t>Item Description</t>
  </si>
  <si>
    <t>Uom</t>
  </si>
  <si>
    <t>On Hand</t>
  </si>
  <si>
    <t>Consumption</t>
  </si>
  <si>
    <t xml:space="preserve"> Inventory  (min/max) </t>
  </si>
  <si>
    <t>Min</t>
  </si>
  <si>
    <t>Max</t>
  </si>
  <si>
    <t>Boron 4 %</t>
  </si>
  <si>
    <t>MT</t>
  </si>
  <si>
    <t>Tibor Rod 5/1</t>
  </si>
  <si>
    <t xml:space="preserve">Si Metal 98.5% </t>
  </si>
  <si>
    <t xml:space="preserve">Iron Metal (80%) </t>
  </si>
  <si>
    <t>Magnesium(99.90%)</t>
  </si>
  <si>
    <t>Lead time (days)</t>
  </si>
  <si>
    <t>Section</t>
  </si>
  <si>
    <t>Capacity (MT/ Day)</t>
  </si>
  <si>
    <t>2025 Production (MT)</t>
  </si>
  <si>
    <t>Line 1</t>
  </si>
  <si>
    <t>Line 3</t>
  </si>
  <si>
    <t>Line 4</t>
  </si>
  <si>
    <t>Line 5</t>
  </si>
  <si>
    <t>Line 6</t>
  </si>
  <si>
    <t>2024 Production (MT)</t>
  </si>
  <si>
    <t>3-4 Months</t>
  </si>
  <si>
    <t>Aluminium: Main Raw Material</t>
  </si>
  <si>
    <t>Metal Intake from ALBA (MT)</t>
  </si>
  <si>
    <t>TOTAL</t>
  </si>
  <si>
    <t>Rod Casting</t>
  </si>
  <si>
    <t xml:space="preserve">Lead Time </t>
  </si>
  <si>
    <t>ELEMENT</t>
  </si>
  <si>
    <t xml:space="preserve">PO No. </t>
  </si>
  <si>
    <t>PO PLACED</t>
  </si>
  <si>
    <t>RECEOVED QTY (MT)</t>
  </si>
  <si>
    <t>RECEIVED DATE</t>
  </si>
  <si>
    <t>TIBAL ROD</t>
  </si>
  <si>
    <t>SILICON</t>
  </si>
  <si>
    <t>IRON</t>
  </si>
  <si>
    <t>MAGNESIUM</t>
  </si>
  <si>
    <t>Jan - Apr 2026</t>
  </si>
  <si>
    <t>QTY             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</si>
</sst>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3"/>
      <color rgb="FF000000"/>
      <name val="Calibri"/>
      <family val="2"/>
    </font>
    <font>
      <b/>
      <sz val="13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4" tint="-0.499984740745262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 applyAlignment="1">
      <alignment wrapText="1"/>
    </xf>
    <xf numFmtId="17" fontId="1" fillId="2" borderId="6" xfId="0" applyNumberFormat="1" applyFont="1" applyFill="1" applyBorder="1" applyAlignment="1">
      <alignment horizontal="center" vertical="center"/>
    </xf>
    <xf numFmtId="17" fontId="1" fillId="2" borderId="7" xfId="0" applyNumberFormat="1" applyFont="1" applyFill="1" applyBorder="1" applyAlignment="1">
      <alignment horizontal="center" vertical="center"/>
    </xf>
    <xf numFmtId="17" fontId="1" fillId="2" borderId="8" xfId="0" applyNumberFormat="1" applyFont="1" applyFill="1" applyBorder="1" applyAlignment="1">
      <alignment horizontal="center" vertical="center"/>
    </xf>
    <xf numFmtId="17" fontId="1" fillId="2" borderId="9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165" fontId="0" fillId="4" borderId="11" xfId="0" applyNumberFormat="1" applyFill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3" borderId="14" xfId="0" applyFont="1" applyFill="1" applyBorder="1" applyAlignment="1">
      <alignment vertical="center" wrapText="1"/>
    </xf>
    <xf numFmtId="0" fontId="5" fillId="0" borderId="15" xfId="0" applyFont="1" applyBorder="1" applyAlignment="1">
      <alignment horizontal="center" vertical="center"/>
    </xf>
    <xf numFmtId="165" fontId="5" fillId="4" borderId="15" xfId="0" applyNumberFormat="1" applyFont="1" applyFill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5" fontId="5" fillId="4" borderId="1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4" borderId="6" xfId="0" applyNumberFormat="1" applyFont="1" applyFill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21" xfId="0" applyFont="1" applyBorder="1"/>
    <xf numFmtId="0" fontId="6" fillId="2" borderId="22" xfId="0" applyFont="1" applyFill="1" applyBorder="1"/>
    <xf numFmtId="17" fontId="1" fillId="0" borderId="2" xfId="0" applyNumberFormat="1" applyFont="1" applyBorder="1" applyAlignment="1">
      <alignment horizontal="center"/>
    </xf>
    <xf numFmtId="17" fontId="1" fillId="0" borderId="4" xfId="0" applyNumberFormat="1" applyFont="1" applyBorder="1" applyAlignment="1">
      <alignment horizontal="center"/>
    </xf>
    <xf numFmtId="0" fontId="0" fillId="0" borderId="14" xfId="0" applyBorder="1"/>
    <xf numFmtId="3" fontId="0" fillId="0" borderId="15" xfId="0" applyNumberForma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0" fontId="0" fillId="0" borderId="5" xfId="0" applyBorder="1"/>
    <xf numFmtId="3" fontId="0" fillId="0" borderId="6" xfId="0" applyNumberFormat="1" applyBorder="1" applyAlignment="1">
      <alignment horizontal="center" vertical="center"/>
    </xf>
    <xf numFmtId="3" fontId="5" fillId="5" borderId="6" xfId="0" applyNumberFormat="1" applyFont="1" applyFill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wrapText="1"/>
    </xf>
    <xf numFmtId="17" fontId="1" fillId="2" borderId="18" xfId="0" applyNumberFormat="1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1" fillId="2" borderId="19" xfId="0" applyFont="1" applyFill="1" applyBorder="1" applyAlignment="1">
      <alignment vertical="top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3" fontId="0" fillId="0" borderId="1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2" borderId="28" xfId="0" applyNumberFormat="1" applyFont="1" applyFill="1" applyBorder="1" applyAlignment="1">
      <alignment horizontal="center"/>
    </xf>
    <xf numFmtId="3" fontId="7" fillId="0" borderId="29" xfId="0" applyNumberFormat="1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65" fontId="0" fillId="4" borderId="30" xfId="0" applyNumberFormat="1" applyFill="1" applyBorder="1" applyAlignment="1">
      <alignment horizontal="center" vertical="center" wrapText="1"/>
    </xf>
    <xf numFmtId="165" fontId="0" fillId="4" borderId="31" xfId="0" applyNumberFormat="1" applyFill="1" applyBorder="1" applyAlignment="1">
      <alignment horizontal="center" vertical="center" wrapText="1"/>
    </xf>
    <xf numFmtId="165" fontId="0" fillId="4" borderId="32" xfId="0" applyNumberForma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164" fontId="3" fillId="2" borderId="29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164" fontId="3" fillId="2" borderId="33" xfId="0" applyNumberFormat="1" applyFont="1" applyFill="1" applyBorder="1" applyAlignment="1">
      <alignment horizontal="center" vertical="center" wrapText="1"/>
    </xf>
    <xf numFmtId="164" fontId="3" fillId="2" borderId="34" xfId="0" applyNumberFormat="1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14" fontId="8" fillId="0" borderId="15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4" fontId="8" fillId="0" borderId="1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4" fontId="8" fillId="0" borderId="17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7558-E236-47FE-A7B0-893B70252E9F}">
  <dimension ref="B3:S34"/>
  <sheetViews>
    <sheetView tabSelected="1" workbookViewId="0">
      <selection activeCell="D12" sqref="D12"/>
    </sheetView>
  </sheetViews>
  <sheetFormatPr defaultRowHeight="14.5" x14ac:dyDescent="0.35"/>
  <cols>
    <col min="2" max="2" width="41.1796875" bestFit="1" customWidth="1"/>
    <col min="3" max="3" width="9.36328125" customWidth="1"/>
    <col min="4" max="4" width="10.453125" bestFit="1" customWidth="1"/>
    <col min="5" max="5" width="9.90625" customWidth="1"/>
    <col min="6" max="6" width="13" customWidth="1"/>
    <col min="7" max="7" width="11" customWidth="1"/>
    <col min="8" max="11" width="9.90625" customWidth="1"/>
  </cols>
  <sheetData>
    <row r="3" spans="2:19" ht="16.5" thickBot="1" x14ac:dyDescent="0.45">
      <c r="B3" s="1" t="s">
        <v>25</v>
      </c>
    </row>
    <row r="4" spans="2:19" x14ac:dyDescent="0.35">
      <c r="B4" s="61" t="s">
        <v>26</v>
      </c>
      <c r="C4" s="53">
        <v>45658</v>
      </c>
      <c r="D4" s="53">
        <v>45689</v>
      </c>
      <c r="E4" s="53">
        <v>45717</v>
      </c>
      <c r="F4" s="53">
        <v>45748</v>
      </c>
      <c r="G4" s="53">
        <v>45778</v>
      </c>
      <c r="H4" s="53">
        <v>45809</v>
      </c>
      <c r="I4" s="53">
        <v>45839</v>
      </c>
      <c r="J4" s="53">
        <v>45870</v>
      </c>
      <c r="K4" s="53">
        <v>45901</v>
      </c>
      <c r="L4" s="54">
        <v>45931</v>
      </c>
      <c r="M4" s="53">
        <v>45962</v>
      </c>
      <c r="N4" s="54">
        <v>45992</v>
      </c>
      <c r="O4" s="55" t="s">
        <v>27</v>
      </c>
    </row>
    <row r="5" spans="2:19" ht="15" thickBot="1" x14ac:dyDescent="0.4">
      <c r="B5" s="62"/>
      <c r="C5" s="37">
        <v>20000</v>
      </c>
      <c r="D5" s="37">
        <v>18000</v>
      </c>
      <c r="E5" s="39">
        <v>22000</v>
      </c>
      <c r="F5" s="37">
        <v>22000</v>
      </c>
      <c r="G5" s="37">
        <v>22500</v>
      </c>
      <c r="H5" s="37">
        <v>19600</v>
      </c>
      <c r="I5" s="37">
        <v>21000</v>
      </c>
      <c r="J5" s="37">
        <v>21200</v>
      </c>
      <c r="K5" s="39">
        <v>20500</v>
      </c>
      <c r="L5" s="57">
        <v>22000</v>
      </c>
      <c r="M5" s="39">
        <v>21000</v>
      </c>
      <c r="N5" s="41">
        <v>21000</v>
      </c>
      <c r="O5" s="56">
        <f>SUM(C5:N5)</f>
        <v>250800</v>
      </c>
    </row>
    <row r="9" spans="2:19" ht="16.5" thickBot="1" x14ac:dyDescent="0.45">
      <c r="B9" s="1" t="s">
        <v>0</v>
      </c>
    </row>
    <row r="10" spans="2:19" ht="17" x14ac:dyDescent="0.4">
      <c r="B10" s="63" t="s">
        <v>1</v>
      </c>
      <c r="C10" s="65" t="s">
        <v>2</v>
      </c>
      <c r="D10" s="67" t="s">
        <v>3</v>
      </c>
      <c r="E10" s="73" t="s">
        <v>4</v>
      </c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5"/>
      <c r="Q10" s="69" t="s">
        <v>5</v>
      </c>
      <c r="R10" s="70"/>
      <c r="S10" s="71" t="s">
        <v>14</v>
      </c>
    </row>
    <row r="11" spans="2:19" ht="15" thickBot="1" x14ac:dyDescent="0.4">
      <c r="B11" s="64"/>
      <c r="C11" s="66"/>
      <c r="D11" s="68"/>
      <c r="E11" s="2">
        <v>45658</v>
      </c>
      <c r="F11" s="2">
        <v>45689</v>
      </c>
      <c r="G11" s="2">
        <v>45717</v>
      </c>
      <c r="H11" s="2">
        <v>45748</v>
      </c>
      <c r="I11" s="2">
        <v>45778</v>
      </c>
      <c r="J11" s="2">
        <v>45809</v>
      </c>
      <c r="K11" s="2">
        <v>45839</v>
      </c>
      <c r="L11" s="2">
        <v>45870</v>
      </c>
      <c r="M11" s="2">
        <v>45901</v>
      </c>
      <c r="N11" s="3">
        <v>45931</v>
      </c>
      <c r="O11" s="3">
        <v>45962</v>
      </c>
      <c r="P11" s="43">
        <v>45992</v>
      </c>
      <c r="Q11" s="4" t="s">
        <v>6</v>
      </c>
      <c r="R11" s="5" t="s">
        <v>7</v>
      </c>
      <c r="S11" s="72"/>
    </row>
    <row r="12" spans="2:19" x14ac:dyDescent="0.35">
      <c r="B12" s="6" t="s">
        <v>8</v>
      </c>
      <c r="C12" s="7" t="s">
        <v>9</v>
      </c>
      <c r="D12" s="8">
        <v>68.332999999999998</v>
      </c>
      <c r="E12" s="8">
        <v>37.101999999999997</v>
      </c>
      <c r="F12" s="8">
        <v>34.058</v>
      </c>
      <c r="G12" s="8">
        <v>42.932000000000002</v>
      </c>
      <c r="H12" s="8">
        <v>44.936</v>
      </c>
      <c r="I12" s="8">
        <v>40.651499999999999</v>
      </c>
      <c r="J12" s="8">
        <v>36.728999999999999</v>
      </c>
      <c r="K12" s="8">
        <v>45.026000000000003</v>
      </c>
      <c r="L12" s="9">
        <v>47.146500000000003</v>
      </c>
      <c r="M12" s="9">
        <v>41.136499999999998</v>
      </c>
      <c r="N12" s="10">
        <v>41.926000000000002</v>
      </c>
      <c r="O12" s="10">
        <v>42.513500000000001</v>
      </c>
      <c r="P12" s="44">
        <v>38.862000000000002</v>
      </c>
      <c r="Q12" s="11">
        <v>100</v>
      </c>
      <c r="R12" s="12">
        <v>240</v>
      </c>
      <c r="S12" s="58" t="s">
        <v>24</v>
      </c>
    </row>
    <row r="13" spans="2:19" x14ac:dyDescent="0.35">
      <c r="B13" s="13" t="s">
        <v>10</v>
      </c>
      <c r="C13" s="14" t="s">
        <v>9</v>
      </c>
      <c r="D13" s="15">
        <v>75.448999999999998</v>
      </c>
      <c r="E13" s="15">
        <v>33.713500000000003</v>
      </c>
      <c r="F13" s="15">
        <v>31.4635</v>
      </c>
      <c r="G13" s="15">
        <v>31.369</v>
      </c>
      <c r="H13" s="15">
        <v>41.033000000000001</v>
      </c>
      <c r="I13" s="15">
        <v>37.340499999999999</v>
      </c>
      <c r="J13" s="15">
        <v>28.881499999999999</v>
      </c>
      <c r="K13" s="15">
        <v>38.429000000000002</v>
      </c>
      <c r="L13" s="16">
        <v>45.917499999999997</v>
      </c>
      <c r="M13" s="16">
        <v>44.222499999999997</v>
      </c>
      <c r="N13" s="17">
        <v>48.0565</v>
      </c>
      <c r="O13" s="17">
        <v>39.039000000000001</v>
      </c>
      <c r="P13" s="45">
        <v>41.366</v>
      </c>
      <c r="Q13" s="18">
        <v>100</v>
      </c>
      <c r="R13" s="19">
        <v>240</v>
      </c>
      <c r="S13" s="59"/>
    </row>
    <row r="14" spans="2:19" x14ac:dyDescent="0.35">
      <c r="B14" s="13" t="s">
        <v>11</v>
      </c>
      <c r="C14" s="14" t="s">
        <v>9</v>
      </c>
      <c r="D14" s="20">
        <v>60</v>
      </c>
      <c r="E14" s="20">
        <v>24</v>
      </c>
      <c r="F14" s="20">
        <v>22</v>
      </c>
      <c r="G14" s="20">
        <v>26</v>
      </c>
      <c r="H14" s="20">
        <v>28</v>
      </c>
      <c r="I14" s="20">
        <v>32</v>
      </c>
      <c r="J14" s="20">
        <v>30</v>
      </c>
      <c r="K14" s="20">
        <v>30</v>
      </c>
      <c r="L14" s="16">
        <v>34</v>
      </c>
      <c r="M14" s="16">
        <v>38</v>
      </c>
      <c r="N14" s="17">
        <v>38</v>
      </c>
      <c r="O14" s="17">
        <v>32</v>
      </c>
      <c r="P14" s="45">
        <v>28</v>
      </c>
      <c r="Q14" s="18">
        <v>100</v>
      </c>
      <c r="R14" s="19">
        <v>200</v>
      </c>
      <c r="S14" s="59"/>
    </row>
    <row r="15" spans="2:19" x14ac:dyDescent="0.35">
      <c r="B15" s="13" t="s">
        <v>12</v>
      </c>
      <c r="C15" s="14" t="s">
        <v>9</v>
      </c>
      <c r="D15" s="15">
        <v>38.159999999999997</v>
      </c>
      <c r="E15" s="15">
        <v>22.32</v>
      </c>
      <c r="F15" s="15">
        <v>16.559999999999999</v>
      </c>
      <c r="G15" s="15">
        <v>22.419499999999999</v>
      </c>
      <c r="H15" s="15">
        <v>24.48</v>
      </c>
      <c r="I15" s="15">
        <v>26.64</v>
      </c>
      <c r="J15" s="15">
        <v>18.72</v>
      </c>
      <c r="K15" s="15">
        <v>27.36</v>
      </c>
      <c r="L15" s="16">
        <v>28.8</v>
      </c>
      <c r="M15" s="16">
        <v>18.72</v>
      </c>
      <c r="N15" s="17">
        <v>27.36</v>
      </c>
      <c r="O15" s="17">
        <v>26.64</v>
      </c>
      <c r="P15" s="45">
        <v>33.840000000000003</v>
      </c>
      <c r="Q15" s="18">
        <v>80</v>
      </c>
      <c r="R15" s="19">
        <v>150</v>
      </c>
      <c r="S15" s="59"/>
    </row>
    <row r="16" spans="2:19" ht="15" thickBot="1" x14ac:dyDescent="0.4">
      <c r="B16" s="21" t="s">
        <v>13</v>
      </c>
      <c r="C16" s="22" t="s">
        <v>9</v>
      </c>
      <c r="D16" s="23">
        <v>116.43</v>
      </c>
      <c r="E16" s="23">
        <v>33.787999999999997</v>
      </c>
      <c r="F16" s="23">
        <v>28.844999999999999</v>
      </c>
      <c r="G16" s="23">
        <v>38.302999999999997</v>
      </c>
      <c r="H16" s="23">
        <v>43.88</v>
      </c>
      <c r="I16" s="23">
        <v>42.23</v>
      </c>
      <c r="J16" s="23">
        <v>36.545000000000002</v>
      </c>
      <c r="K16" s="23">
        <v>49.640999999999998</v>
      </c>
      <c r="L16" s="24">
        <v>45.792999999999999</v>
      </c>
      <c r="M16" s="24">
        <v>51.877000000000002</v>
      </c>
      <c r="N16" s="25">
        <v>42.585999999999999</v>
      </c>
      <c r="O16" s="25">
        <v>46.195999999999998</v>
      </c>
      <c r="P16" s="46">
        <v>36.259</v>
      </c>
      <c r="Q16" s="26">
        <v>150</v>
      </c>
      <c r="R16" s="27">
        <v>250</v>
      </c>
      <c r="S16" s="60"/>
    </row>
    <row r="18" spans="2:7" ht="16.5" thickBot="1" x14ac:dyDescent="0.45">
      <c r="B18" s="1" t="s">
        <v>29</v>
      </c>
    </row>
    <row r="19" spans="2:7" ht="34.5" thickBot="1" x14ac:dyDescent="0.4">
      <c r="B19" s="79" t="s">
        <v>30</v>
      </c>
      <c r="C19" s="80" t="s">
        <v>31</v>
      </c>
      <c r="D19" s="81" t="s">
        <v>32</v>
      </c>
      <c r="E19" s="81" t="s">
        <v>40</v>
      </c>
      <c r="F19" s="81" t="s">
        <v>33</v>
      </c>
      <c r="G19" s="82" t="s">
        <v>34</v>
      </c>
    </row>
    <row r="20" spans="2:7" x14ac:dyDescent="0.35">
      <c r="B20" s="87" t="s">
        <v>35</v>
      </c>
      <c r="C20" s="88">
        <v>17</v>
      </c>
      <c r="D20" s="89">
        <v>45791</v>
      </c>
      <c r="E20" s="88">
        <v>200</v>
      </c>
      <c r="F20" s="90">
        <v>75</v>
      </c>
      <c r="G20" s="91">
        <v>45875</v>
      </c>
    </row>
    <row r="21" spans="2:7" x14ac:dyDescent="0.35">
      <c r="B21" s="92"/>
      <c r="C21" s="83"/>
      <c r="D21" s="84"/>
      <c r="E21" s="83"/>
      <c r="F21" s="85">
        <v>50</v>
      </c>
      <c r="G21" s="93">
        <v>45894</v>
      </c>
    </row>
    <row r="22" spans="2:7" x14ac:dyDescent="0.35">
      <c r="B22" s="92"/>
      <c r="C22" s="83"/>
      <c r="D22" s="84"/>
      <c r="E22" s="83"/>
      <c r="F22" s="85">
        <v>75</v>
      </c>
      <c r="G22" s="93">
        <v>45925</v>
      </c>
    </row>
    <row r="23" spans="2:7" x14ac:dyDescent="0.35">
      <c r="B23" s="92"/>
      <c r="C23" s="85">
        <v>68</v>
      </c>
      <c r="D23" s="86">
        <v>45924</v>
      </c>
      <c r="E23" s="85">
        <v>22</v>
      </c>
      <c r="F23" s="85">
        <v>22</v>
      </c>
      <c r="G23" s="93">
        <v>46020</v>
      </c>
    </row>
    <row r="24" spans="2:7" x14ac:dyDescent="0.35">
      <c r="B24" s="92" t="s">
        <v>36</v>
      </c>
      <c r="C24" s="83">
        <v>72</v>
      </c>
      <c r="D24" s="84">
        <v>45678</v>
      </c>
      <c r="E24" s="83">
        <v>120</v>
      </c>
      <c r="F24" s="85">
        <v>48</v>
      </c>
      <c r="G24" s="93">
        <v>38456</v>
      </c>
    </row>
    <row r="25" spans="2:7" x14ac:dyDescent="0.35">
      <c r="B25" s="92"/>
      <c r="C25" s="83"/>
      <c r="D25" s="84"/>
      <c r="E25" s="83"/>
      <c r="F25" s="85">
        <v>24</v>
      </c>
      <c r="G25" s="93">
        <v>45790</v>
      </c>
    </row>
    <row r="26" spans="2:7" x14ac:dyDescent="0.35">
      <c r="B26" s="92"/>
      <c r="C26" s="83"/>
      <c r="D26" s="84"/>
      <c r="E26" s="83"/>
      <c r="F26" s="85">
        <v>48</v>
      </c>
      <c r="G26" s="93">
        <v>45820</v>
      </c>
    </row>
    <row r="27" spans="2:7" x14ac:dyDescent="0.35">
      <c r="B27" s="92"/>
      <c r="C27" s="85">
        <v>91</v>
      </c>
      <c r="D27" s="86">
        <v>45833</v>
      </c>
      <c r="E27" s="85">
        <v>96</v>
      </c>
      <c r="F27" s="85">
        <v>96</v>
      </c>
      <c r="G27" s="93">
        <v>45900</v>
      </c>
    </row>
    <row r="28" spans="2:7" x14ac:dyDescent="0.35">
      <c r="B28" s="92"/>
      <c r="C28" s="85">
        <v>92</v>
      </c>
      <c r="D28" s="86">
        <v>45833</v>
      </c>
      <c r="E28" s="85">
        <v>96</v>
      </c>
      <c r="F28" s="85">
        <v>96</v>
      </c>
      <c r="G28" s="93">
        <v>45892</v>
      </c>
    </row>
    <row r="29" spans="2:7" x14ac:dyDescent="0.35">
      <c r="B29" s="92" t="s">
        <v>37</v>
      </c>
      <c r="C29" s="83">
        <v>81</v>
      </c>
      <c r="D29" s="84">
        <v>45721</v>
      </c>
      <c r="E29" s="83">
        <v>150</v>
      </c>
      <c r="F29" s="85">
        <v>50</v>
      </c>
      <c r="G29" s="93">
        <v>45820</v>
      </c>
    </row>
    <row r="30" spans="2:7" x14ac:dyDescent="0.35">
      <c r="B30" s="92"/>
      <c r="C30" s="83"/>
      <c r="D30" s="84"/>
      <c r="E30" s="83"/>
      <c r="F30" s="85">
        <v>50</v>
      </c>
      <c r="G30" s="93">
        <v>45889</v>
      </c>
    </row>
    <row r="31" spans="2:7" x14ac:dyDescent="0.35">
      <c r="B31" s="92"/>
      <c r="C31" s="83"/>
      <c r="D31" s="84"/>
      <c r="E31" s="83"/>
      <c r="F31" s="85">
        <v>25</v>
      </c>
      <c r="G31" s="93">
        <v>45900</v>
      </c>
    </row>
    <row r="32" spans="2:7" x14ac:dyDescent="0.35">
      <c r="B32" s="92"/>
      <c r="C32" s="83"/>
      <c r="D32" s="84"/>
      <c r="E32" s="83"/>
      <c r="F32" s="85">
        <v>25</v>
      </c>
      <c r="G32" s="93">
        <v>45953</v>
      </c>
    </row>
    <row r="33" spans="2:7" x14ac:dyDescent="0.35">
      <c r="B33" s="92" t="s">
        <v>38</v>
      </c>
      <c r="C33" s="85">
        <v>25</v>
      </c>
      <c r="D33" s="86">
        <v>45833</v>
      </c>
      <c r="E33" s="85">
        <v>200</v>
      </c>
      <c r="F33" s="85">
        <v>200</v>
      </c>
      <c r="G33" s="93">
        <v>45889</v>
      </c>
    </row>
    <row r="34" spans="2:7" ht="15" thickBot="1" x14ac:dyDescent="0.4">
      <c r="B34" s="94"/>
      <c r="C34" s="95">
        <v>62</v>
      </c>
      <c r="D34" s="96">
        <v>45964</v>
      </c>
      <c r="E34" s="95">
        <v>200</v>
      </c>
      <c r="F34" s="97" t="s">
        <v>39</v>
      </c>
      <c r="G34" s="98"/>
    </row>
  </sheetData>
  <mergeCells count="22">
    <mergeCell ref="F34:G34"/>
    <mergeCell ref="B29:B32"/>
    <mergeCell ref="C29:C32"/>
    <mergeCell ref="D29:D32"/>
    <mergeCell ref="E29:E32"/>
    <mergeCell ref="B33:B34"/>
    <mergeCell ref="B20:B23"/>
    <mergeCell ref="C20:C22"/>
    <mergeCell ref="D20:D22"/>
    <mergeCell ref="E20:E22"/>
    <mergeCell ref="B24:B28"/>
    <mergeCell ref="C24:C26"/>
    <mergeCell ref="D24:D26"/>
    <mergeCell ref="E24:E26"/>
    <mergeCell ref="S12:S16"/>
    <mergeCell ref="B4:B5"/>
    <mergeCell ref="B10:B11"/>
    <mergeCell ref="C10:C11"/>
    <mergeCell ref="D10:D11"/>
    <mergeCell ref="Q10:R10"/>
    <mergeCell ref="S10:S11"/>
    <mergeCell ref="E10:P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EC74-37D8-4B0D-9CA4-21747EFE4E70}">
  <dimension ref="B3:AA10"/>
  <sheetViews>
    <sheetView workbookViewId="0">
      <selection activeCell="F20" sqref="F20"/>
    </sheetView>
  </sheetViews>
  <sheetFormatPr defaultRowHeight="14.5" x14ac:dyDescent="0.35"/>
  <cols>
    <col min="2" max="2" width="12.08984375" customWidth="1"/>
    <col min="3" max="3" width="10.54296875" customWidth="1"/>
    <col min="4" max="27" width="8.6328125" customWidth="1"/>
  </cols>
  <sheetData>
    <row r="3" spans="2:27" ht="15" thickBot="1" x14ac:dyDescent="0.4"/>
    <row r="4" spans="2:27" ht="34.5" customHeight="1" thickBot="1" x14ac:dyDescent="0.45">
      <c r="B4" s="28" t="s">
        <v>15</v>
      </c>
      <c r="C4" s="42" t="s">
        <v>16</v>
      </c>
      <c r="D4" s="78" t="s">
        <v>23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7"/>
      <c r="P4" s="76" t="s">
        <v>17</v>
      </c>
      <c r="Q4" s="76"/>
      <c r="R4" s="76"/>
      <c r="S4" s="76"/>
      <c r="T4" s="76"/>
      <c r="U4" s="76"/>
      <c r="V4" s="76"/>
      <c r="W4" s="76"/>
      <c r="X4" s="76"/>
      <c r="Y4" s="76"/>
      <c r="Z4" s="76"/>
      <c r="AA4" s="77"/>
    </row>
    <row r="5" spans="2:27" x14ac:dyDescent="0.35">
      <c r="B5" s="29" t="s">
        <v>28</v>
      </c>
      <c r="C5" s="47"/>
      <c r="D5" s="50">
        <v>45292</v>
      </c>
      <c r="E5" s="30">
        <v>45323</v>
      </c>
      <c r="F5" s="30">
        <v>45352</v>
      </c>
      <c r="G5" s="30">
        <v>45383</v>
      </c>
      <c r="H5" s="30">
        <v>45413</v>
      </c>
      <c r="I5" s="30">
        <v>45444</v>
      </c>
      <c r="J5" s="30">
        <v>45474</v>
      </c>
      <c r="K5" s="30">
        <v>45505</v>
      </c>
      <c r="L5" s="30">
        <v>45536</v>
      </c>
      <c r="M5" s="30">
        <v>45566</v>
      </c>
      <c r="N5" s="30">
        <v>45597</v>
      </c>
      <c r="O5" s="31">
        <v>45627</v>
      </c>
      <c r="P5" s="50">
        <v>45658</v>
      </c>
      <c r="Q5" s="30">
        <v>45689</v>
      </c>
      <c r="R5" s="30">
        <v>45717</v>
      </c>
      <c r="S5" s="30">
        <v>45748</v>
      </c>
      <c r="T5" s="30">
        <v>45778</v>
      </c>
      <c r="U5" s="30">
        <v>45809</v>
      </c>
      <c r="V5" s="30">
        <v>45839</v>
      </c>
      <c r="W5" s="30">
        <v>45870</v>
      </c>
      <c r="X5" s="30">
        <v>45901</v>
      </c>
      <c r="Y5" s="30">
        <v>45931</v>
      </c>
      <c r="Z5" s="30">
        <v>45962</v>
      </c>
      <c r="AA5" s="31">
        <v>45992</v>
      </c>
    </row>
    <row r="6" spans="2:27" x14ac:dyDescent="0.35">
      <c r="B6" s="32" t="s">
        <v>18</v>
      </c>
      <c r="C6" s="48">
        <v>70</v>
      </c>
      <c r="D6" s="51">
        <v>2305</v>
      </c>
      <c r="E6" s="33">
        <v>2145</v>
      </c>
      <c r="F6" s="34">
        <v>2200</v>
      </c>
      <c r="G6" s="33">
        <v>1280</v>
      </c>
      <c r="H6" s="33">
        <v>2236</v>
      </c>
      <c r="I6" s="33">
        <v>2130</v>
      </c>
      <c r="J6" s="33">
        <v>2085</v>
      </c>
      <c r="K6" s="33">
        <v>2135</v>
      </c>
      <c r="L6" s="34">
        <v>2184</v>
      </c>
      <c r="M6" s="34">
        <v>2195</v>
      </c>
      <c r="N6" s="33">
        <v>2050</v>
      </c>
      <c r="O6" s="35">
        <v>2280</v>
      </c>
      <c r="P6" s="51">
        <v>2185</v>
      </c>
      <c r="Q6" s="33">
        <v>1975</v>
      </c>
      <c r="R6" s="34">
        <v>2090</v>
      </c>
      <c r="S6" s="33">
        <v>2060</v>
      </c>
      <c r="T6" s="33">
        <v>2240</v>
      </c>
      <c r="U6" s="33">
        <v>2020</v>
      </c>
      <c r="V6" s="33">
        <v>2198</v>
      </c>
      <c r="W6" s="33">
        <v>2310</v>
      </c>
      <c r="X6" s="34">
        <v>2275</v>
      </c>
      <c r="Y6" s="34">
        <v>2155</v>
      </c>
      <c r="Z6" s="33">
        <v>2280</v>
      </c>
      <c r="AA6" s="35">
        <v>2450</v>
      </c>
    </row>
    <row r="7" spans="2:27" x14ac:dyDescent="0.35">
      <c r="B7" s="32" t="s">
        <v>19</v>
      </c>
      <c r="C7" s="48">
        <v>200</v>
      </c>
      <c r="D7" s="51">
        <v>6070</v>
      </c>
      <c r="E7" s="33">
        <v>5860</v>
      </c>
      <c r="F7" s="34">
        <v>6110</v>
      </c>
      <c r="G7" s="33">
        <v>5035</v>
      </c>
      <c r="H7" s="33">
        <v>5963</v>
      </c>
      <c r="I7" s="33">
        <v>5440</v>
      </c>
      <c r="J7" s="33">
        <v>5815</v>
      </c>
      <c r="K7" s="33">
        <v>5005</v>
      </c>
      <c r="L7" s="34">
        <v>4585</v>
      </c>
      <c r="M7" s="34">
        <v>4510</v>
      </c>
      <c r="N7" s="33">
        <v>3600</v>
      </c>
      <c r="O7" s="35">
        <v>4820</v>
      </c>
      <c r="P7" s="51">
        <v>5170</v>
      </c>
      <c r="Q7" s="33">
        <v>4890</v>
      </c>
      <c r="R7" s="34">
        <v>5620</v>
      </c>
      <c r="S7" s="33">
        <v>5540</v>
      </c>
      <c r="T7" s="33">
        <v>5950</v>
      </c>
      <c r="U7" s="33">
        <v>3880</v>
      </c>
      <c r="V7" s="33">
        <v>5830</v>
      </c>
      <c r="W7" s="33">
        <v>5520</v>
      </c>
      <c r="X7" s="34">
        <v>5290</v>
      </c>
      <c r="Y7" s="34">
        <v>5780</v>
      </c>
      <c r="Z7" s="33">
        <v>5890</v>
      </c>
      <c r="AA7" s="35">
        <v>5870</v>
      </c>
    </row>
    <row r="8" spans="2:27" x14ac:dyDescent="0.35">
      <c r="B8" s="32" t="s">
        <v>20</v>
      </c>
      <c r="C8" s="48">
        <v>160</v>
      </c>
      <c r="D8" s="51">
        <v>4400</v>
      </c>
      <c r="E8" s="33">
        <v>4590</v>
      </c>
      <c r="F8" s="34">
        <v>4600</v>
      </c>
      <c r="G8" s="33">
        <v>4405</v>
      </c>
      <c r="H8" s="33">
        <v>4750</v>
      </c>
      <c r="I8" s="33">
        <v>4590</v>
      </c>
      <c r="J8" s="33">
        <v>4590</v>
      </c>
      <c r="K8" s="33">
        <v>4602</v>
      </c>
      <c r="L8" s="34">
        <v>4400</v>
      </c>
      <c r="M8" s="34">
        <v>4635</v>
      </c>
      <c r="N8" s="33">
        <v>4310</v>
      </c>
      <c r="O8" s="35">
        <v>4460</v>
      </c>
      <c r="P8" s="51">
        <v>4110</v>
      </c>
      <c r="Q8" s="33">
        <v>4020</v>
      </c>
      <c r="R8" s="34">
        <v>4380</v>
      </c>
      <c r="S8" s="33">
        <v>4240</v>
      </c>
      <c r="T8" s="33">
        <v>4170</v>
      </c>
      <c r="U8" s="33">
        <v>3950</v>
      </c>
      <c r="V8" s="33">
        <v>4170</v>
      </c>
      <c r="W8" s="33">
        <v>4280</v>
      </c>
      <c r="X8" s="34">
        <v>4185</v>
      </c>
      <c r="Y8" s="34">
        <v>4315</v>
      </c>
      <c r="Z8" s="33">
        <v>4600</v>
      </c>
      <c r="AA8" s="35">
        <v>4600</v>
      </c>
    </row>
    <row r="9" spans="2:27" x14ac:dyDescent="0.35">
      <c r="B9" s="32" t="s">
        <v>21</v>
      </c>
      <c r="C9" s="48">
        <v>160</v>
      </c>
      <c r="D9" s="51">
        <v>4965</v>
      </c>
      <c r="E9" s="33">
        <v>3700</v>
      </c>
      <c r="F9" s="34">
        <v>4810</v>
      </c>
      <c r="G9" s="33">
        <v>4300</v>
      </c>
      <c r="H9" s="33">
        <v>4250</v>
      </c>
      <c r="I9" s="33">
        <v>4330</v>
      </c>
      <c r="J9" s="33">
        <v>4920</v>
      </c>
      <c r="K9" s="33">
        <v>4845</v>
      </c>
      <c r="L9" s="34">
        <v>4595</v>
      </c>
      <c r="M9" s="34">
        <v>4080</v>
      </c>
      <c r="N9" s="33">
        <v>4260</v>
      </c>
      <c r="O9" s="35">
        <v>4535</v>
      </c>
      <c r="P9" s="51">
        <v>4340</v>
      </c>
      <c r="Q9" s="33">
        <v>4165</v>
      </c>
      <c r="R9" s="34">
        <v>4580</v>
      </c>
      <c r="S9" s="33">
        <v>4620</v>
      </c>
      <c r="T9" s="33">
        <v>4410</v>
      </c>
      <c r="U9" s="33">
        <v>4430</v>
      </c>
      <c r="V9" s="33">
        <v>4520</v>
      </c>
      <c r="W9" s="33">
        <v>4490</v>
      </c>
      <c r="X9" s="34">
        <v>4050</v>
      </c>
      <c r="Y9" s="34">
        <v>4635</v>
      </c>
      <c r="Z9" s="33">
        <v>4980</v>
      </c>
      <c r="AA9" s="35">
        <v>4977.8999999999996</v>
      </c>
    </row>
    <row r="10" spans="2:27" ht="15" thickBot="1" x14ac:dyDescent="0.4">
      <c r="B10" s="36" t="s">
        <v>22</v>
      </c>
      <c r="C10" s="49">
        <v>160</v>
      </c>
      <c r="D10" s="52">
        <v>4485</v>
      </c>
      <c r="E10" s="37">
        <v>4150.0690000000004</v>
      </c>
      <c r="F10" s="38">
        <v>4370</v>
      </c>
      <c r="G10" s="37">
        <v>3980</v>
      </c>
      <c r="H10" s="37">
        <v>4715</v>
      </c>
      <c r="I10" s="37">
        <v>4640</v>
      </c>
      <c r="J10" s="37">
        <v>4630</v>
      </c>
      <c r="K10" s="37">
        <v>4390</v>
      </c>
      <c r="L10" s="39">
        <v>4125</v>
      </c>
      <c r="M10" s="39">
        <v>4475</v>
      </c>
      <c r="N10" s="37">
        <v>4444</v>
      </c>
      <c r="O10" s="40">
        <v>4430</v>
      </c>
      <c r="P10" s="52">
        <v>3620</v>
      </c>
      <c r="Q10" s="37">
        <v>2550</v>
      </c>
      <c r="R10" s="38">
        <v>4480</v>
      </c>
      <c r="S10" s="37">
        <v>4390</v>
      </c>
      <c r="T10" s="37">
        <v>4560</v>
      </c>
      <c r="U10" s="37">
        <v>4420</v>
      </c>
      <c r="V10" s="37">
        <v>4450</v>
      </c>
      <c r="W10" s="37">
        <v>4510</v>
      </c>
      <c r="X10" s="39">
        <v>4355</v>
      </c>
      <c r="Y10" s="39">
        <v>4620</v>
      </c>
      <c r="Z10" s="37">
        <v>4550</v>
      </c>
      <c r="AA10" s="40">
        <v>4690</v>
      </c>
    </row>
  </sheetData>
  <mergeCells count="2">
    <mergeCell ref="P4:AA4"/>
    <mergeCell ref="D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</vt:lpstr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A.Hadi Isa Shamlooh</dc:creator>
  <cp:lastModifiedBy>Fatima A.Hadi Isa Shamlooh</cp:lastModifiedBy>
  <dcterms:created xsi:type="dcterms:W3CDTF">2026-01-05T07:38:43Z</dcterms:created>
  <dcterms:modified xsi:type="dcterms:W3CDTF">2026-01-08T05:13:28Z</dcterms:modified>
</cp:coreProperties>
</file>